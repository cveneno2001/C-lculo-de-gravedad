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xr:revisionPtr revIDLastSave="0" documentId="8_{F1433012-BC92-4717-9029-D06FB2B14CD4}" xr6:coauthVersionLast="47" xr6:coauthVersionMax="47" xr10:uidLastSave="{00000000-0000-0000-0000-000000000000}"/>
  <bookViews>
    <workbookView xWindow="-108" yWindow="-108" windowWidth="23256" windowHeight="12456" xr2:uid="{00000000-000D-0000-FFFF-FFFF00000000}"/>
  </bookViews>
  <sheets>
    <sheet name="Gravedad de un péndulo " sheetId="11" r:id="rId1"/>
  </sheets>
  <externalReferences>
    <externalReference r:id="rId2"/>
    <externalReference r:id="rId3"/>
    <externalReference r:id="rId4"/>
  </externalReferences>
  <definedNames>
    <definedName name="CIQWBGuid" hidden="1">"2cd8126d-26c3-430c-b7fa-a069e3a1fc62"</definedName>
    <definedName name="CODIGO1">[1]DIARIO!$C$12:$C$501</definedName>
    <definedName name="CODIGO2">[2]BALANCE!$A1</definedName>
    <definedName name="DEBE">[1]DIARIO!$F$12:$F$501</definedName>
    <definedName name="Fecha_final" localSheetId="0">'Gravedad de un péndulo '!$F1</definedName>
    <definedName name="Fecha_incio" localSheetId="0">'Gravedad de un péndulo '!$E1</definedName>
    <definedName name="HABER">[1]DIARIO!$G$12:$G$501</definedName>
    <definedName name="hoy" localSheetId="0">TODAY()</definedName>
    <definedName name="InicioDelProyecto">'Gravedad de un péndulo '!$E$3</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Progresos" localSheetId="0">'Gravedad de un péndulo '!$D1</definedName>
    <definedName name="SemanaParaMostrar">'Gravedad de un péndulo '!$E$4</definedName>
    <definedName name="_xlnm.Print_Titles" localSheetId="0">'Gravedad de un péndulo '!$4:$6</definedName>
    <definedName name="Type">'[3]Maintenance Work Order'!#REF!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9" i="11" l="1"/>
  <c r="E18" i="11"/>
  <c r="E17" i="11"/>
  <c r="E13" i="11"/>
  <c r="H7" i="11"/>
  <c r="E9" i="11" l="1"/>
  <c r="F9" i="11" s="1"/>
  <c r="I5" i="11" l="1"/>
  <c r="H14" i="11"/>
  <c r="H8" i="11"/>
  <c r="E10" i="11" l="1"/>
  <c r="E15" i="11" s="1"/>
  <c r="E16" i="11" s="1"/>
  <c r="H9" i="11"/>
  <c r="F10" i="11"/>
  <c r="E11" i="11" s="1"/>
  <c r="I6" i="11"/>
  <c r="H10" i="11" l="1"/>
  <c r="F16" i="11"/>
  <c r="F15" i="11"/>
  <c r="H15" i="11" s="1"/>
  <c r="F13" i="11"/>
  <c r="H13" i="11" s="1"/>
  <c r="F11" i="11"/>
  <c r="E12" i="11" s="1"/>
  <c r="J5" i="11"/>
  <c r="K5" i="11" s="1"/>
  <c r="L5" i="11" s="1"/>
  <c r="M5" i="11" s="1"/>
  <c r="N5" i="11" s="1"/>
  <c r="O5" i="11" s="1"/>
  <c r="P5" i="11" s="1"/>
  <c r="I4" i="11"/>
  <c r="H16" i="11" l="1"/>
  <c r="H11" i="11"/>
  <c r="F12" i="11"/>
  <c r="H12" i="11" s="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<sst xmlns="http://schemas.openxmlformats.org/spreadsheetml/2006/main" count="39" uniqueCount="38">
  <si>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</si>
  <si>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</si>
  <si>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</si>
  <si>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</si>
  <si>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</si>
  <si>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</si>
  <si>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</si>
  <si>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</si>
  <si>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</si>
  <si>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</si>
  <si>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</si>
  <si>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</si>
  <si>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</si>
  <si>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</si>
  <si>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TAREA</t>
  </si>
  <si>
    <t>Título de la fase 1</t>
  </si>
  <si>
    <t>Título de la fase 2</t>
  </si>
  <si>
    <t>Inicio del proyecto:</t>
  </si>
  <si>
    <t>ASIGNADO
A</t>
  </si>
  <si>
    <t>Nombre</t>
  </si>
  <si>
    <t>PROGRESO</t>
  </si>
  <si>
    <t>INICIO</t>
  </si>
  <si>
    <t>FIN</t>
  </si>
  <si>
    <t>DÍAS</t>
  </si>
  <si>
    <t xml:space="preserve">GRAVEDAD DE UN PÉNDULO </t>
  </si>
  <si>
    <t>Investigación teórica</t>
  </si>
  <si>
    <t>Selección de materiales</t>
  </si>
  <si>
    <t xml:space="preserve">Ensamblaje del péndulo </t>
  </si>
  <si>
    <t xml:space="preserve">Conexión del sensor </t>
  </si>
  <si>
    <t>Programacion del ESP32</t>
  </si>
  <si>
    <t xml:space="preserve">Comunicaión con Python </t>
  </si>
  <si>
    <t xml:space="preserve">Calibración del sistema </t>
  </si>
  <si>
    <t xml:space="preserve">Toma de datos experimentales </t>
  </si>
  <si>
    <t xml:space="preserve">Analisis de resultados </t>
  </si>
  <si>
    <t xml:space="preserve">Elaboración del reporte </t>
  </si>
  <si>
    <t xml:space="preserve">Christian Antonio Ramirez Sanchez </t>
  </si>
  <si>
    <t xml:space="preserve">Evelin Espinoza Fabian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</si>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</sst>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_);_(* \(#,##0\);_(* &quot;-&quot;_);_(@_)"/>
    <numFmt numFmtId="165" formatCode="_(* #,##0.00_);_(* \(#,##0.00\);_(* &quot;-&quot;??_);_(@_)"/>
    <numFmt numFmtId="166" formatCode="_-* #,##0\ &quot;€&quot;_-;\-* #,##0\ &quot;€&quot;_-;_-* &quot;-&quot;\ &quot;€&quot;_-;_-@_-"/>
    <numFmt numFmtId="167" formatCode="_-* #,##0.00\ &quot;€&quot;_-;\-* #,##0.00\ &quot;€&quot;_-;_-* &quot;-&quot;??\ &quot;€&quot;_-;_-@_-"/>
    <numFmt numFmtId="168" formatCode="m/d/yy;@"/>
    <numFmt numFmtId="169" formatCode="d\-m\-yy;@"/>
    <numFmt numFmtId="170" formatCode="ddd\,\ dd/mm/yyyy"/>
    <numFmt numFmtId="171" formatCode="mmm\ &quot;de&quot;\ yyyy"/>
    <numFmt numFmtId="172" formatCode="d"/>
  </numFmts>
  <fonts count="2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9"/>
      <color theme="0"/>
      <name val="Calibri"/>
      <family val="2"/>
      <scheme val="minor"/>
    </font>
  </fonts>
  <fills count="3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00B050"/>
        <bgColor theme="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5">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3" fillId="0" borderId="0"/>
    <xf numFmtId="165" fontId="7" fillId="0" borderId="3" applyFont="0" applyFill="0" applyAlignment="0" applyProtection="0"/>
    <xf numFmtId="0" fontId="10"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70" fontId="7" fillId="0" borderId="3">
      <alignment horizontal="center" vertical="center"/>
    </xf>
    <xf numFmtId="168"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4" fillId="0" borderId="0" applyNumberFormat="0" applyFill="0" applyBorder="0" applyAlignment="0" applyProtection="0"/>
    <xf numFmtId="164" fontId="7" fillId="0" borderId="0" applyFont="0" applyFill="0" applyBorder="0" applyAlignment="0" applyProtection="0"/>
    <xf numFmtId="167" fontId="7" fillId="0" borderId="0" applyFont="0" applyFill="0" applyBorder="0" applyAlignment="0" applyProtection="0"/>
    <xf numFmtId="166" fontId="7" fillId="0" borderId="0" applyFont="0" applyFill="0" applyBorder="0" applyAlignment="0" applyProtection="0"/>
    <xf numFmtId="0" fontId="15" fillId="0" borderId="0" applyNumberFormat="0" applyFill="0" applyBorder="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11" applyNumberFormat="0" applyAlignment="0" applyProtection="0"/>
    <xf numFmtId="0" fontId="20" fillId="10" borderId="12" applyNumberFormat="0" applyAlignment="0" applyProtection="0"/>
    <xf numFmtId="0" fontId="21" fillId="10" borderId="11" applyNumberFormat="0" applyAlignment="0" applyProtection="0"/>
    <xf numFmtId="0" fontId="22" fillId="0" borderId="13" applyNumberFormat="0" applyFill="0" applyAlignment="0" applyProtection="0"/>
    <xf numFmtId="0" fontId="23" fillId="11" borderId="14" applyNumberFormat="0" applyAlignment="0" applyProtection="0"/>
    <xf numFmtId="0" fontId="24" fillId="0" borderId="0" applyNumberFormat="0" applyFill="0" applyBorder="0" applyAlignment="0" applyProtection="0"/>
    <xf numFmtId="0" fontId="7" fillId="12" borderId="15" applyNumberFormat="0" applyFont="0" applyAlignment="0" applyProtection="0"/>
    <xf numFmtId="0" fontId="25" fillId="0" borderId="0" applyNumberFormat="0" applyFill="0" applyBorder="0" applyAlignment="0" applyProtection="0"/>
    <xf numFmtId="0" fontId="5" fillId="0" borderId="16" applyNumberFormat="0" applyFill="0" applyAlignment="0" applyProtection="0"/>
    <xf numFmtId="0" fontId="1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1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1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3"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7" fillId="0" borderId="0"/>
  </cellStyleXfs>
  <cellXfs count="5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11" fillId="0" borderId="0" xfId="0" applyFont="1"/>
    <xf numFmtId="0" fontId="12" fillId="0" borderId="0" xfId="1" applyFont="1" applyAlignment="1" applyProtection="1"/>
    <xf numFmtId="0" fontId="4" fillId="0" borderId="2" xfId="0" applyFont="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9" fontId="4" fillId="2"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3"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13" fillId="0" borderId="0" xfId="3"/>
    <xf numFmtId="0" fontId="13" fillId="0" borderId="0" xfId="3" applyAlignment="1">
      <alignment wrapText="1"/>
    </xf>
    <xf numFmtId="0" fontId="13" fillId="0" borderId="0" xfId="0" applyFont="1" applyAlignment="1">
      <alignment horizontal="center"/>
    </xf>
    <xf numFmtId="0" fontId="12" fillId="0" borderId="0" xfId="1" applyFont="1" applyProtection="1">
      <alignment vertical="top"/>
    </xf>
    <xf numFmtId="0" fontId="0" fillId="0" borderId="0" xfId="0" applyAlignment="1">
      <alignment wrapText="1"/>
    </xf>
    <xf numFmtId="0" fontId="10" fillId="0" borderId="0" xfId="5" applyAlignment="1">
      <alignment horizontal="left"/>
    </xf>
    <xf numFmtId="0" fontId="8" fillId="0" borderId="0" xfId="6"/>
    <xf numFmtId="0" fontId="8" fillId="0" borderId="0" xfId="7">
      <alignment vertical="top"/>
    </xf>
    <xf numFmtId="0" fontId="7" fillId="4" borderId="2" xfId="11" applyFill="1">
      <alignment horizontal="center" vertical="center"/>
    </xf>
    <xf numFmtId="0" fontId="7" fillId="2" borderId="2" xfId="11" applyFill="1">
      <alignment horizontal="center" vertical="center"/>
    </xf>
    <xf numFmtId="0" fontId="7" fillId="5" borderId="2" xfId="11" applyFill="1">
      <alignment horizontal="center" vertical="center"/>
    </xf>
    <xf numFmtId="0" fontId="7" fillId="3" borderId="2" xfId="11" applyFill="1">
      <alignment horizontal="center" vertical="center"/>
    </xf>
    <xf numFmtId="0" fontId="7" fillId="2" borderId="2" xfId="12" applyFill="1">
      <alignment horizontal="left" vertical="center" indent="2"/>
    </xf>
    <xf numFmtId="0" fontId="7" fillId="3" borderId="2" xfId="12" applyFill="1">
      <alignment horizontal="left" vertical="center" indent="2"/>
    </xf>
    <xf numFmtId="169" fontId="0" fillId="4" borderId="2" xfId="0" applyNumberFormat="1" applyFill="1" applyBorder="1" applyAlignment="1">
      <alignment horizontal="center" vertical="center"/>
    </xf>
    <xf numFmtId="169" fontId="4" fillId="4" borderId="2" xfId="0" applyNumberFormat="1" applyFont="1" applyFill="1" applyBorder="1" applyAlignment="1">
      <alignment horizontal="center" vertical="center"/>
    </xf>
    <xf numFmtId="169" fontId="7" fillId="2" borderId="2" xfId="10" applyNumberFormat="1" applyFill="1">
      <alignment horizontal="center" vertical="center"/>
    </xf>
    <xf numFmtId="169" fontId="0" fillId="5" borderId="2" xfId="0" applyNumberFormat="1" applyFill="1" applyBorder="1" applyAlignment="1">
      <alignment horizontal="center" vertical="center"/>
    </xf>
    <xf numFmtId="169" fontId="4" fillId="5" borderId="2" xfId="0" applyNumberFormat="1" applyFont="1" applyFill="1" applyBorder="1" applyAlignment="1">
      <alignment horizontal="center" vertical="center"/>
    </xf>
    <xf numFmtId="169" fontId="7" fillId="3" borderId="2" xfId="10" applyNumberFormat="1" applyFill="1">
      <alignment horizontal="center" vertical="center"/>
    </xf>
    <xf numFmtId="0" fontId="6" fillId="38" borderId="1" xfId="0" applyFont="1" applyFill="1" applyBorder="1" applyAlignment="1">
      <alignment horizontal="left" vertical="center" indent="1"/>
    </xf>
    <xf numFmtId="0" fontId="6" fillId="38" borderId="1" xfId="0" applyFont="1" applyFill="1" applyBorder="1" applyAlignment="1">
      <alignment horizontal="center" vertical="center" wrapText="1"/>
    </xf>
    <xf numFmtId="0" fontId="9" fillId="37" borderId="8" xfId="0" applyFont="1" applyFill="1" applyBorder="1" applyAlignment="1">
      <alignment horizontal="center" vertical="center" shrinkToFit="1"/>
    </xf>
    <xf numFmtId="172" fontId="26" fillId="37" borderId="6" xfId="0" applyNumberFormat="1" applyFont="1" applyFill="1" applyBorder="1" applyAlignment="1">
      <alignment horizontal="center" vertical="center"/>
    </xf>
    <xf numFmtId="172" fontId="26" fillId="37" borderId="0" xfId="0" applyNumberFormat="1" applyFont="1" applyFill="1" applyAlignment="1">
      <alignment horizontal="center" vertical="center"/>
    </xf>
    <xf numFmtId="172" fontId="26" fillId="37" borderId="7" xfId="0" applyNumberFormat="1" applyFont="1" applyFill="1" applyBorder="1" applyAlignment="1">
      <alignment horizontal="center" vertical="center"/>
    </xf>
    <xf numFmtId="171" fontId="13" fillId="37" borderId="4" xfId="0" applyNumberFormat="1" applyFont="1" applyFill="1" applyBorder="1" applyAlignment="1">
      <alignment horizontal="left" vertical="center" wrapText="1" indent="1"/>
    </xf>
    <xf numFmtId="171" fontId="13" fillId="37" borderId="1" xfId="0" applyNumberFormat="1" applyFont="1" applyFill="1" applyBorder="1" applyAlignment="1">
      <alignment horizontal="left" vertical="center" wrapText="1" indent="1"/>
    </xf>
    <xf numFmtId="171" fontId="13" fillId="37" borderId="5" xfId="0" applyNumberFormat="1" applyFont="1" applyFill="1" applyBorder="1" applyAlignment="1">
      <alignment horizontal="left" vertical="center" wrapText="1" indent="1"/>
    </xf>
    <xf numFmtId="170" fontId="7" fillId="0" borderId="3" xfId="9">
      <alignment horizontal="center" vertical="center"/>
    </xf>
    <xf numFmtId="0" fontId="7" fillId="0" borderId="0" xfId="8">
      <alignment horizontal="right" indent="1"/>
    </xf>
    <xf numFmtId="0" fontId="7" fillId="0" borderId="7" xfId="8" applyBorder="1">
      <alignment horizontal="right" indent="1"/>
    </xf>
    <xf numFmtId="0" fontId="0" fillId="0" borderId="10" xfId="0" applyBorder="1"/>
  </cellXfs>
  <cellStyles count="55">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00000000-0005-0000-0000-00001F000000}"/>
    <cellStyle name="Hipervínculo" xfId="1" builtinId="8" customBuiltin="1"/>
    <cellStyle name="Hipervínculo visitado" xfId="13" builtinId="9" customBuiltin="1"/>
    <cellStyle name="Incorrecto" xfId="19" builtinId="27" customBuiltin="1"/>
    <cellStyle name="Inicio del proyecto" xfId="9" xr:uid="{00000000-0005-0000-0000-000023000000}"/>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00000000-0005-0000-0000-000029000000}"/>
    <cellStyle name="Normal" xfId="0" builtinId="0" customBuiltin="1"/>
    <cellStyle name="Normal 2 2 2" xfId="54" xr:uid="{951B45BF-94F6-492D-A7A8-2AA37DF577F4}"/>
    <cellStyle name="Notas" xfId="27" builtinId="10" customBuiltin="1"/>
    <cellStyle name="Porcentaje" xfId="2" builtinId="5" customBuiltin="1"/>
    <cellStyle name="Salida" xfId="22" builtinId="21" customBuiltin="1"/>
    <cellStyle name="Tarea" xfId="12" xr:uid="{00000000-0005-0000-0000-00002E000000}"/>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00000000-0005-0000-0000-000035000000}"/>
  </cellStyles>
  <dxfs count="12">
    <dxf>
      <fill>
        <patternFill>
          <bgColor rgb="FF00B0F0"/>
        </patternFill>
      </fill>
      <border>
        <left/>
        <right/>
      </border>
    </dxf>
    <dxf>
      <fill>
        <patternFill>
          <bgColor rgb="FF00B050"/>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imagenes\plantillas\Libro-diario-excel.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Aneudy/Pictures/plantillas/Hoja%20de%20balance.xlsx" TargetMode="External"/><Relationship Id="rId1" Type="http://schemas.openxmlformats.org/officeDocument/2006/relationships/externalLinkPath" Target="/Users/Aneudy/Pictures/plantillas/Hoja%20de%20balance.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RIO"/>
      <sheetName val="MAYOR"/>
      <sheetName val="BALANCE"/>
      <sheetName val="RESULTADO"/>
    </sheetNames>
    <sheetDataSet>
      <sheetData sheetId="0">
        <row r="12">
          <cell r="C12" t="str">
            <v>1.1.1.01</v>
          </cell>
          <cell r="F12">
            <v>5000</v>
          </cell>
        </row>
        <row r="13">
          <cell r="C13" t="str">
            <v>4.1.1.01</v>
          </cell>
          <cell r="G13">
            <v>5000</v>
          </cell>
        </row>
        <row r="14">
          <cell r="C14" t="str">
            <v>5.1.1.1</v>
          </cell>
          <cell r="F14">
            <v>4000</v>
          </cell>
        </row>
        <row r="15">
          <cell r="C15" t="str">
            <v>1.1.4.01</v>
          </cell>
          <cell r="G15">
            <v>4000</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LANCE"/>
      <sheetName val="DESCARGA DE RESPONSABILIDAD"/>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81" zoomScaleNormal="81" zoomScalePageLayoutView="70" workbookViewId="0">
      <pane ySplit="6" topLeftCell="A11" activePane="bottomLeft" state="frozen"/>
      <selection pane="bottomLeft" activeCell="E4" sqref="E4"/>
    </sheetView>
  </sheetViews>
  <sheetFormatPr baseColWidth="10" defaultColWidth="9.109375" defaultRowHeight="30" customHeight="1" x14ac:dyDescent="0.3"/>
  <cols>
    <col min="1" max="1" width="2.6640625" style="19" customWidth="1"/>
    <col min="2" max="2" width="31.33203125" customWidth="1"/>
    <col min="3" max="3" width="30.6640625" customWidth="1"/>
    <col min="4" max="4" width="10.6640625" customWidth="1"/>
    <col min="5" max="5" width="10.44140625" style="5" customWidth="1"/>
    <col min="6" max="6" width="10.44140625" customWidth="1"/>
    <col min="7" max="7" width="2.6640625" customWidth="1"/>
    <col min="8" max="8" width="6.109375" hidden="1" customWidth="1"/>
    <col min="9" max="64" width="2.5546875" customWidth="1"/>
    <col min="69" max="70" width="10.33203125"/>
  </cols>
  <sheetData>
    <row r="1" spans="1:64" ht="30" customHeight="1" x14ac:dyDescent="0.55000000000000004">
      <c r="A1" s="20" t="s">
        <v>0</v>
      </c>
      <c r="B1" s="24" t="s">
        <v>24</v>
      </c>
      <c r="C1" s="1"/>
      <c r="D1" s="2"/>
      <c r="E1" s="4"/>
      <c r="F1" s="18"/>
      <c r="H1" s="2"/>
      <c r="I1" t="s">
        <v>37</v>
      </c>
    </row>
    <row r="2" spans="1:64" ht="30" customHeight="1" x14ac:dyDescent="0.35">
      <c r="A2" s="19" t="s">
        <v>1</v>
      </c>
      <c r="B2" s="25" t="s">
        <v>35</v>
      </c>
      <c r="I2" s="22"/>
    </row>
    <row r="3" spans="1:64" ht="30" customHeight="1" x14ac:dyDescent="0.3">
      <c r="A3" s="19" t="s">
        <v>2</v>
      </c>
      <c r="B3" s="26" t="s">
        <v>36</v>
      </c>
      <c r="C3" s="49" t="s">
        <v>17</v>
      </c>
      <c r="D3" s="50"/>
      <c r="E3" s="48">
        <v>46092</v>
      </c>
      <c r="F3" s="48"/>
    </row>
    <row r="4" spans="1:64" ht="30" customHeight="1" x14ac:dyDescent="0.3">
      <c r="A4" s="20" t="s">
        <v>3</v>
      </c>
      <c r="C4" s="49"/>
      <c r="D4" s="50"/>
      <c r="E4" s="6"/>
      <c r="I4" s="45">
        <f>I5</f>
        <v>46083</v>
      </c>
      <c r="J4" s="46"/>
      <c r="K4" s="46"/>
      <c r="L4" s="46"/>
      <c r="M4" s="46"/>
      <c r="N4" s="46"/>
      <c r="O4" s="47"/>
      <c r="P4" s="45">
        <f>P5</f>
        <v>46090</v>
      </c>
      <c r="Q4" s="46"/>
      <c r="R4" s="46"/>
      <c r="S4" s="46"/>
      <c r="T4" s="46"/>
      <c r="U4" s="46"/>
      <c r="V4" s="47"/>
      <c r="W4" s="45">
        <f>W5</f>
        <v>46097</v>
      </c>
      <c r="X4" s="46"/>
      <c r="Y4" s="46"/>
      <c r="Z4" s="46"/>
      <c r="AA4" s="46"/>
      <c r="AB4" s="46"/>
      <c r="AC4" s="47"/>
      <c r="AD4" s="45">
        <f>AD5</f>
        <v>46104</v>
      </c>
      <c r="AE4" s="46"/>
      <c r="AF4" s="46"/>
      <c r="AG4" s="46"/>
      <c r="AH4" s="46"/>
      <c r="AI4" s="46"/>
      <c r="AJ4" s="47"/>
      <c r="AK4" s="45">
        <f>AK5</f>
        <v>46111</v>
      </c>
      <c r="AL4" s="46"/>
      <c r="AM4" s="46"/>
      <c r="AN4" s="46"/>
      <c r="AO4" s="46"/>
      <c r="AP4" s="46"/>
      <c r="AQ4" s="47"/>
      <c r="AR4" s="45">
        <f>AR5</f>
        <v>46118</v>
      </c>
      <c r="AS4" s="46"/>
      <c r="AT4" s="46"/>
      <c r="AU4" s="46"/>
      <c r="AV4" s="46"/>
      <c r="AW4" s="46"/>
      <c r="AX4" s="47"/>
      <c r="AY4" s="45">
        <f>AY5</f>
        <v>46125</v>
      </c>
      <c r="AZ4" s="46"/>
      <c r="BA4" s="46"/>
      <c r="BB4" s="46"/>
      <c r="BC4" s="46"/>
      <c r="BD4" s="46"/>
      <c r="BE4" s="47"/>
      <c r="BF4" s="45">
        <f>BF5</f>
        <v>46132</v>
      </c>
      <c r="BG4" s="46"/>
      <c r="BH4" s="46"/>
      <c r="BI4" s="46"/>
      <c r="BJ4" s="46"/>
      <c r="BK4" s="46"/>
      <c r="BL4" s="47"/>
    </row>
    <row r="5" spans="1:64" ht="15" customHeight="1" x14ac:dyDescent="0.3">
      <c r="A5" s="20" t="s">
        <v>4</v>
      </c>
      <c r="B5" s="51"/>
      <c r="C5" s="51"/>
      <c r="D5" s="51"/>
      <c r="E5" s="51"/>
      <c r="F5" s="51"/>
      <c r="G5" s="51"/>
      <c r="I5" s="42">
        <f>InicioDelProyecto-WEEKDAY(InicioDelProyecto,1)+2+7*(SemanaParaMostrar-1)</f>
        <v>46083</v>
      </c>
      <c r="J5" s="43">
        <f>I5+1</f>
        <v>46084</v>
      </c>
      <c r="K5" s="43">
        <f t="shared" ref="K5:AX5" si="0">J5+1</f>
        <v>46085</v>
      </c>
      <c r="L5" s="43">
        <f t="shared" si="0"/>
        <v>46086</v>
      </c>
      <c r="M5" s="43">
        <f t="shared" si="0"/>
        <v>46087</v>
      </c>
      <c r="N5" s="43">
        <f t="shared" si="0"/>
        <v>46088</v>
      </c>
      <c r="O5" s="44">
        <f t="shared" si="0"/>
        <v>46089</v>
      </c>
      <c r="P5" s="42">
        <f>O5+1</f>
        <v>46090</v>
      </c>
      <c r="Q5" s="43">
        <f>P5+1</f>
        <v>46091</v>
      </c>
      <c r="R5" s="43">
        <f t="shared" si="0"/>
        <v>46092</v>
      </c>
      <c r="S5" s="43">
        <f t="shared" si="0"/>
        <v>46093</v>
      </c>
      <c r="T5" s="43">
        <f t="shared" si="0"/>
        <v>46094</v>
      </c>
      <c r="U5" s="43">
        <f t="shared" si="0"/>
        <v>46095</v>
      </c>
      <c r="V5" s="44">
        <f t="shared" si="0"/>
        <v>46096</v>
      </c>
      <c r="W5" s="42">
        <f>V5+1</f>
        <v>46097</v>
      </c>
      <c r="X5" s="43">
        <f>W5+1</f>
        <v>46098</v>
      </c>
      <c r="Y5" s="43">
        <f t="shared" si="0"/>
        <v>46099</v>
      </c>
      <c r="Z5" s="43">
        <f t="shared" si="0"/>
        <v>46100</v>
      </c>
      <c r="AA5" s="43">
        <f t="shared" si="0"/>
        <v>46101</v>
      </c>
      <c r="AB5" s="43">
        <f t="shared" si="0"/>
        <v>46102</v>
      </c>
      <c r="AC5" s="44">
        <f t="shared" si="0"/>
        <v>46103</v>
      </c>
      <c r="AD5" s="42">
        <f>AC5+1</f>
        <v>46104</v>
      </c>
      <c r="AE5" s="43">
        <f>AD5+1</f>
        <v>46105</v>
      </c>
      <c r="AF5" s="43">
        <f t="shared" si="0"/>
        <v>46106</v>
      </c>
      <c r="AG5" s="43">
        <f t="shared" si="0"/>
        <v>46107</v>
      </c>
      <c r="AH5" s="43">
        <f t="shared" si="0"/>
        <v>46108</v>
      </c>
      <c r="AI5" s="43">
        <f t="shared" si="0"/>
        <v>46109</v>
      </c>
      <c r="AJ5" s="44">
        <f t="shared" si="0"/>
        <v>46110</v>
      </c>
      <c r="AK5" s="42">
        <f>AJ5+1</f>
        <v>46111</v>
      </c>
      <c r="AL5" s="43">
        <f>AK5+1</f>
        <v>46112</v>
      </c>
      <c r="AM5" s="43">
        <f t="shared" si="0"/>
        <v>46113</v>
      </c>
      <c r="AN5" s="43">
        <f t="shared" si="0"/>
        <v>46114</v>
      </c>
      <c r="AO5" s="43">
        <f t="shared" si="0"/>
        <v>46115</v>
      </c>
      <c r="AP5" s="43">
        <f t="shared" si="0"/>
        <v>46116</v>
      </c>
      <c r="AQ5" s="44">
        <f t="shared" si="0"/>
        <v>46117</v>
      </c>
      <c r="AR5" s="42">
        <f>AQ5+1</f>
        <v>46118</v>
      </c>
      <c r="AS5" s="43">
        <f>AR5+1</f>
        <v>46119</v>
      </c>
      <c r="AT5" s="43">
        <f t="shared" si="0"/>
        <v>46120</v>
      </c>
      <c r="AU5" s="43">
        <f t="shared" si="0"/>
        <v>46121</v>
      </c>
      <c r="AV5" s="43">
        <f t="shared" si="0"/>
        <v>46122</v>
      </c>
      <c r="AW5" s="43">
        <f t="shared" si="0"/>
        <v>46123</v>
      </c>
      <c r="AX5" s="44">
        <f t="shared" si="0"/>
        <v>46124</v>
      </c>
      <c r="AY5" s="42">
        <f>AX5+1</f>
        <v>46125</v>
      </c>
      <c r="AZ5" s="43">
        <f>AY5+1</f>
        <v>46126</v>
      </c>
      <c r="BA5" s="43">
        <f t="shared" ref="BA5:BE5" si="1">AZ5+1</f>
        <v>46127</v>
      </c>
      <c r="BB5" s="43">
        <f t="shared" si="1"/>
        <v>46128</v>
      </c>
      <c r="BC5" s="43">
        <f t="shared" si="1"/>
        <v>46129</v>
      </c>
      <c r="BD5" s="43">
        <f t="shared" si="1"/>
        <v>46130</v>
      </c>
      <c r="BE5" s="44">
        <f t="shared" si="1"/>
        <v>46131</v>
      </c>
      <c r="BF5" s="42">
        <f>BE5+1</f>
        <v>46132</v>
      </c>
      <c r="BG5" s="43">
        <f>BF5+1</f>
        <v>46133</v>
      </c>
      <c r="BH5" s="43">
        <f t="shared" ref="BH5:BL5" si="2">BG5+1</f>
        <v>46134</v>
      </c>
      <c r="BI5" s="43">
        <f t="shared" si="2"/>
        <v>46135</v>
      </c>
      <c r="BJ5" s="43">
        <f t="shared" si="2"/>
        <v>46136</v>
      </c>
      <c r="BK5" s="43">
        <f t="shared" si="2"/>
        <v>46137</v>
      </c>
      <c r="BL5" s="44">
        <f t="shared" si="2"/>
        <v>46138</v>
      </c>
    </row>
    <row r="6" spans="1:64" ht="30" customHeight="1" thickBot="1" x14ac:dyDescent="0.35">
      <c r="A6" s="20" t="s">
        <v>5</v>
      </c>
      <c r="B6" s="39" t="s">
        <v>14</v>
      </c>
      <c r="C6" s="40" t="s">
        <v>18</v>
      </c>
      <c r="D6" s="40" t="s">
        <v>20</v>
      </c>
      <c r="E6" s="40" t="s">
        <v>21</v>
      </c>
      <c r="F6" s="40" t="s">
        <v>22</v>
      </c>
      <c r="G6" s="40"/>
      <c r="H6" s="40" t="s">
        <v>23</v>
      </c>
      <c r="I6" s="41" t="str">
        <f t="shared" ref="I6" si="3">LEFT(TEXT(I5,"ddd"),1)</f>
        <v>l</v>
      </c>
      <c r="J6" s="41" t="str">
        <f t="shared" ref="J6:AR6" si="4">LEFT(TEXT(J5,"ddd"),1)</f>
        <v>m</v>
      </c>
      <c r="K6" s="41" t="str">
        <f t="shared" si="4"/>
        <v>m</v>
      </c>
      <c r="L6" s="41" t="str">
        <f t="shared" si="4"/>
        <v>j</v>
      </c>
      <c r="M6" s="41" t="str">
        <f t="shared" si="4"/>
        <v>v</v>
      </c>
      <c r="N6" s="41" t="str">
        <f t="shared" si="4"/>
        <v>s</v>
      </c>
      <c r="O6" s="41" t="str">
        <f t="shared" si="4"/>
        <v>d</v>
      </c>
      <c r="P6" s="41" t="str">
        <f t="shared" si="4"/>
        <v>l</v>
      </c>
      <c r="Q6" s="41" t="str">
        <f t="shared" si="4"/>
        <v>m</v>
      </c>
      <c r="R6" s="41" t="str">
        <f t="shared" si="4"/>
        <v>m</v>
      </c>
      <c r="S6" s="41" t="str">
        <f t="shared" si="4"/>
        <v>j</v>
      </c>
      <c r="T6" s="41" t="str">
        <f t="shared" si="4"/>
        <v>v</v>
      </c>
      <c r="U6" s="41" t="str">
        <f t="shared" si="4"/>
        <v>s</v>
      </c>
      <c r="V6" s="41" t="str">
        <f t="shared" si="4"/>
        <v>d</v>
      </c>
      <c r="W6" s="41" t="str">
        <f t="shared" si="4"/>
        <v>l</v>
      </c>
      <c r="X6" s="41" t="str">
        <f t="shared" si="4"/>
        <v>m</v>
      </c>
      <c r="Y6" s="41" t="str">
        <f t="shared" si="4"/>
        <v>m</v>
      </c>
      <c r="Z6" s="41" t="str">
        <f t="shared" si="4"/>
        <v>j</v>
      </c>
      <c r="AA6" s="41" t="str">
        <f t="shared" si="4"/>
        <v>v</v>
      </c>
      <c r="AB6" s="41" t="str">
        <f t="shared" si="4"/>
        <v>s</v>
      </c>
      <c r="AC6" s="41" t="str">
        <f t="shared" si="4"/>
        <v>d</v>
      </c>
      <c r="AD6" s="41" t="str">
        <f t="shared" si="4"/>
        <v>l</v>
      </c>
      <c r="AE6" s="41" t="str">
        <f t="shared" si="4"/>
        <v>m</v>
      </c>
      <c r="AF6" s="41" t="str">
        <f t="shared" si="4"/>
        <v>m</v>
      </c>
      <c r="AG6" s="41" t="str">
        <f t="shared" si="4"/>
        <v>j</v>
      </c>
      <c r="AH6" s="41" t="str">
        <f t="shared" si="4"/>
        <v>v</v>
      </c>
      <c r="AI6" s="41" t="str">
        <f t="shared" si="4"/>
        <v>s</v>
      </c>
      <c r="AJ6" s="41" t="str">
        <f t="shared" si="4"/>
        <v>d</v>
      </c>
      <c r="AK6" s="41" t="str">
        <f t="shared" si="4"/>
        <v>l</v>
      </c>
      <c r="AL6" s="41" t="str">
        <f t="shared" si="4"/>
        <v>m</v>
      </c>
      <c r="AM6" s="41" t="str">
        <f t="shared" si="4"/>
        <v>m</v>
      </c>
      <c r="AN6" s="41" t="str">
        <f t="shared" si="4"/>
        <v>j</v>
      </c>
      <c r="AO6" s="41" t="str">
        <f t="shared" si="4"/>
        <v>v</v>
      </c>
      <c r="AP6" s="41" t="str">
        <f t="shared" si="4"/>
        <v>s</v>
      </c>
      <c r="AQ6" s="41" t="str">
        <f t="shared" si="4"/>
        <v>d</v>
      </c>
      <c r="AR6" s="41" t="str">
        <f t="shared" si="4"/>
        <v>l</v>
      </c>
      <c r="AS6" s="41" t="str">
        <f t="shared" ref="AS6:BL6" si="5">LEFT(TEXT(AS5,"ddd"),1)</f>
        <v>m</v>
      </c>
      <c r="AT6" s="41" t="str">
        <f t="shared" si="5"/>
        <v>m</v>
      </c>
      <c r="AU6" s="41" t="str">
        <f t="shared" si="5"/>
        <v>j</v>
      </c>
      <c r="AV6" s="41" t="str">
        <f t="shared" si="5"/>
        <v>v</v>
      </c>
      <c r="AW6" s="41" t="str">
        <f t="shared" si="5"/>
        <v>s</v>
      </c>
      <c r="AX6" s="41" t="str">
        <f t="shared" si="5"/>
        <v>d</v>
      </c>
      <c r="AY6" s="41" t="str">
        <f t="shared" si="5"/>
        <v>l</v>
      </c>
      <c r="AZ6" s="41" t="str">
        <f t="shared" si="5"/>
        <v>m</v>
      </c>
      <c r="BA6" s="41" t="str">
        <f t="shared" si="5"/>
        <v>m</v>
      </c>
      <c r="BB6" s="41" t="str">
        <f t="shared" si="5"/>
        <v>j</v>
      </c>
      <c r="BC6" s="41" t="str">
        <f t="shared" si="5"/>
        <v>v</v>
      </c>
      <c r="BD6" s="41" t="str">
        <f t="shared" si="5"/>
        <v>s</v>
      </c>
      <c r="BE6" s="41" t="str">
        <f t="shared" si="5"/>
        <v>d</v>
      </c>
      <c r="BF6" s="41" t="str">
        <f t="shared" si="5"/>
        <v>l</v>
      </c>
      <c r="BG6" s="41" t="str">
        <f t="shared" si="5"/>
        <v>m</v>
      </c>
      <c r="BH6" s="41" t="str">
        <f t="shared" si="5"/>
        <v>m</v>
      </c>
      <c r="BI6" s="41" t="str">
        <f t="shared" si="5"/>
        <v>j</v>
      </c>
      <c r="BJ6" s="41" t="str">
        <f t="shared" si="5"/>
        <v>v</v>
      </c>
      <c r="BK6" s="41" t="str">
        <f t="shared" si="5"/>
        <v>s</v>
      </c>
      <c r="BL6" s="41" t="str">
        <f t="shared" si="5"/>
        <v>d</v>
      </c>
    </row>
    <row r="7" spans="1:64" ht="30" hidden="1" customHeight="1" thickBot="1" x14ac:dyDescent="0.35">
      <c r="A7" s="19" t="s">
        <v>6</v>
      </c>
      <c r="C7" s="23"/>
      <c r="E7"/>
      <c r="H7" t="str">
        <f>IF(OR(ISBLANK(Fecha_incio),ISBLANK(Fecha_final)),"",Fecha_final-Fecha_incio+1)</f>
        <v/>
      </c>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row>
    <row r="8" spans="1:64" s="3" customFormat="1" ht="30" customHeight="1" thickBot="1" x14ac:dyDescent="0.35">
      <c r="A8" s="20" t="s">
        <v>7</v>
      </c>
      <c r="B8" s="10" t="s">
        <v>15</v>
      </c>
      <c r="C8" s="27"/>
      <c r="D8" s="11"/>
      <c r="E8" s="33"/>
      <c r="F8" s="34"/>
      <c r="G8" s="9"/>
      <c r="H8" s="9" t="str">
        <f t="shared" ref="H8:H33" si="6">IF(OR(ISBLANK(Fecha_incio),ISBLANK(Fecha_final)),"",Fecha_final-Fecha_incio+1)</f>
        <v/>
      </c>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row>
    <row r="9" spans="1:64" s="3" customFormat="1" ht="30" customHeight="1" thickBot="1" x14ac:dyDescent="0.35">
      <c r="A9" s="20" t="s">
        <v>8</v>
      </c>
      <c r="B9" s="31" t="s">
        <v>25</v>
      </c>
      <c r="C9" s="28" t="s">
        <v>19</v>
      </c>
      <c r="D9" s="12">
        <v>0.9</v>
      </c>
      <c r="E9" s="35">
        <f>InicioDelProyecto</f>
        <v>46092</v>
      </c>
      <c r="F9" s="35">
        <f>E9+6</f>
        <v>46098</v>
      </c>
      <c r="G9" s="9"/>
      <c r="H9" s="9">
        <f t="shared" si="6"/>
        <v>7</v>
      </c>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row>
    <row r="10" spans="1:64" s="3" customFormat="1" ht="30" customHeight="1" thickBot="1" x14ac:dyDescent="0.35">
      <c r="A10" s="20" t="s">
        <v>9</v>
      </c>
      <c r="B10" s="31" t="s">
        <v>26</v>
      </c>
      <c r="C10" s="28"/>
      <c r="D10" s="12">
        <v>1</v>
      </c>
      <c r="E10" s="35">
        <f>F9</f>
        <v>46098</v>
      </c>
      <c r="F10" s="35">
        <f>E10+2</f>
        <v>46100</v>
      </c>
      <c r="G10" s="9"/>
      <c r="H10" s="9">
        <f t="shared" si="6"/>
        <v>3</v>
      </c>
      <c r="I10" s="16"/>
      <c r="J10" s="16"/>
      <c r="K10" s="16"/>
      <c r="L10" s="16"/>
      <c r="M10" s="16"/>
      <c r="N10" s="16"/>
      <c r="O10" s="16"/>
      <c r="P10" s="16"/>
      <c r="Q10" s="16"/>
      <c r="R10" s="16"/>
      <c r="S10" s="16"/>
      <c r="T10" s="16"/>
      <c r="U10" s="17"/>
      <c r="V10" s="17"/>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row>
    <row r="11" spans="1:64" s="3" customFormat="1" ht="30" customHeight="1" thickBot="1" x14ac:dyDescent="0.35">
      <c r="A11" s="19"/>
      <c r="B11" s="31" t="s">
        <v>27</v>
      </c>
      <c r="C11" s="28"/>
      <c r="D11" s="12">
        <v>1</v>
      </c>
      <c r="E11" s="35">
        <f>F10</f>
        <v>46100</v>
      </c>
      <c r="F11" s="35">
        <f>E11+4</f>
        <v>46104</v>
      </c>
      <c r="G11" s="9"/>
      <c r="H11" s="9">
        <f t="shared" si="6"/>
        <v>5</v>
      </c>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row>
    <row r="12" spans="1:64" s="3" customFormat="1" ht="30" customHeight="1" thickBot="1" x14ac:dyDescent="0.35">
      <c r="A12" s="19"/>
      <c r="B12" s="31" t="s">
        <v>28</v>
      </c>
      <c r="C12" s="28"/>
      <c r="D12" s="12">
        <v>0.95</v>
      </c>
      <c r="E12" s="35">
        <f>F11</f>
        <v>46104</v>
      </c>
      <c r="F12" s="35">
        <f>E12+5</f>
        <v>46109</v>
      </c>
      <c r="G12" s="9"/>
      <c r="H12" s="9">
        <f t="shared" si="6"/>
        <v>6</v>
      </c>
      <c r="I12" s="16"/>
      <c r="J12" s="16"/>
      <c r="K12" s="16"/>
      <c r="L12" s="16"/>
      <c r="M12" s="16"/>
      <c r="N12" s="16"/>
      <c r="O12" s="16"/>
      <c r="P12" s="16"/>
      <c r="Q12" s="16"/>
      <c r="R12" s="16"/>
      <c r="S12" s="16"/>
      <c r="T12" s="16"/>
      <c r="U12" s="16"/>
      <c r="V12" s="16"/>
      <c r="W12" s="16"/>
      <c r="X12" s="16"/>
      <c r="Y12" s="17"/>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row>
    <row r="13" spans="1:64" s="3" customFormat="1" ht="30" customHeight="1" thickBot="1" x14ac:dyDescent="0.35">
      <c r="A13" s="19"/>
      <c r="B13" s="31" t="s">
        <v>29</v>
      </c>
      <c r="C13" s="28"/>
      <c r="D13" s="12">
        <v>0.95</v>
      </c>
      <c r="E13" s="35">
        <f>F12+1</f>
        <v>46110</v>
      </c>
      <c r="F13" s="35">
        <f>E13+2</f>
        <v>46112</v>
      </c>
      <c r="G13" s="9"/>
      <c r="H13" s="9">
        <f t="shared" si="6"/>
        <v>3</v>
      </c>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row>
    <row r="14" spans="1:64" s="3" customFormat="1" ht="30" customHeight="1" thickBot="1" x14ac:dyDescent="0.35">
      <c r="A14" s="20" t="s">
        <v>10</v>
      </c>
      <c r="B14" s="13" t="s">
        <v>16</v>
      </c>
      <c r="C14" s="29"/>
      <c r="D14" s="14"/>
      <c r="E14" s="36"/>
      <c r="F14" s="37"/>
      <c r="G14" s="9"/>
      <c r="H14" s="9" t="str">
        <f t="shared" si="6"/>
        <v/>
      </c>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row>
    <row r="15" spans="1:64" s="3" customFormat="1" ht="30" customHeight="1" thickBot="1" x14ac:dyDescent="0.35">
      <c r="A15" s="20"/>
      <c r="B15" s="32" t="s">
        <v>30</v>
      </c>
      <c r="C15" s="30"/>
      <c r="D15" s="15">
        <v>0.85</v>
      </c>
      <c r="E15" s="38">
        <f>E13+1</f>
        <v>46111</v>
      </c>
      <c r="F15" s="38">
        <f>E15+4</f>
        <v>46115</v>
      </c>
      <c r="G15" s="9"/>
      <c r="H15" s="9">
        <f t="shared" si="6"/>
        <v>5</v>
      </c>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row>
    <row r="16" spans="1:64" s="3" customFormat="1" ht="30" customHeight="1" thickBot="1" x14ac:dyDescent="0.35">
      <c r="A16" s="19"/>
      <c r="B16" s="32" t="s">
        <v>31</v>
      </c>
      <c r="C16" s="30"/>
      <c r="D16" s="15">
        <v>0.5</v>
      </c>
      <c r="E16" s="38">
        <f>E15+2</f>
        <v>46113</v>
      </c>
      <c r="F16" s="38">
        <f>E16+5</f>
        <v>46118</v>
      </c>
      <c r="G16" s="9"/>
      <c r="H16" s="9">
        <f t="shared" si="6"/>
        <v>6</v>
      </c>
      <c r="I16" s="16"/>
      <c r="J16" s="16"/>
      <c r="K16" s="16"/>
      <c r="L16" s="16"/>
      <c r="M16" s="16"/>
      <c r="N16" s="16"/>
      <c r="O16" s="16"/>
      <c r="P16" s="16"/>
      <c r="Q16" s="16"/>
      <c r="R16" s="16"/>
      <c r="S16" s="16"/>
      <c r="T16" s="16"/>
      <c r="U16" s="17"/>
      <c r="V16" s="17"/>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row>
    <row r="17" spans="1:64" s="3" customFormat="1" ht="30" customHeight="1" thickBot="1" x14ac:dyDescent="0.35">
      <c r="A17" s="19"/>
      <c r="B17" s="32" t="s">
        <v>32</v>
      </c>
      <c r="C17" s="30"/>
      <c r="D17" s="15">
        <v>0.7</v>
      </c>
      <c r="E17" s="38">
        <f>F16+1</f>
        <v>46119</v>
      </c>
      <c r="F17" s="38">
        <f>E17+3</f>
        <v>46122</v>
      </c>
      <c r="G17" s="9"/>
      <c r="H17" s="9">
        <f t="shared" si="6"/>
        <v>4</v>
      </c>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row>
    <row r="18" spans="1:64" s="3" customFormat="1" ht="30" customHeight="1" thickBot="1" x14ac:dyDescent="0.35">
      <c r="A18" s="19"/>
      <c r="B18" s="32" t="s">
        <v>33</v>
      </c>
      <c r="C18" s="30"/>
      <c r="D18" s="15">
        <v>0.6</v>
      </c>
      <c r="E18" s="38">
        <f>F17+1</f>
        <v>46123</v>
      </c>
      <c r="F18" s="38">
        <f>E18+2</f>
        <v>46125</v>
      </c>
      <c r="G18" s="9"/>
      <c r="H18" s="9">
        <f t="shared" si="6"/>
        <v>3</v>
      </c>
      <c r="I18" s="16"/>
      <c r="J18" s="16"/>
      <c r="K18" s="16"/>
      <c r="L18" s="16"/>
      <c r="M18" s="16"/>
      <c r="N18" s="16"/>
      <c r="O18" s="16"/>
      <c r="P18" s="16"/>
      <c r="Q18" s="16"/>
      <c r="R18" s="16"/>
      <c r="S18" s="16"/>
      <c r="T18" s="16"/>
      <c r="U18" s="16"/>
      <c r="V18" s="16"/>
      <c r="W18" s="16"/>
      <c r="X18" s="16"/>
      <c r="Y18" s="17"/>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row>
    <row r="19" spans="1:64" s="3" customFormat="1" ht="30" customHeight="1" thickBot="1" x14ac:dyDescent="0.35">
      <c r="A19" s="19"/>
      <c r="B19" s="32" t="s">
        <v>34</v>
      </c>
      <c r="C19" s="30"/>
      <c r="D19" s="15">
        <v>1</v>
      </c>
      <c r="E19" s="38">
        <f>F18+1</f>
        <v>46126</v>
      </c>
      <c r="F19" s="38">
        <f>E19+3</f>
        <v>46129</v>
      </c>
      <c r="G19" s="9"/>
      <c r="H19" s="9">
        <f t="shared" si="6"/>
        <v>4</v>
      </c>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row>
    <row r="20" spans="1:64" s="3" customFormat="1" ht="30" customHeight="1" x14ac:dyDescent="0.3">
      <c r="A20" s="19" t="s">
        <v>11</v>
      </c>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1:64" s="3" customFormat="1" ht="30" customHeight="1" x14ac:dyDescent="0.3">
      <c r="A21" s="19"/>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1:64" s="3" customFormat="1" ht="30" customHeight="1" x14ac:dyDescent="0.3">
      <c r="A22" s="19"/>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1:64" s="3" customFormat="1" ht="30" customHeight="1" x14ac:dyDescent="0.3">
      <c r="A23" s="19"/>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1:64" s="3" customFormat="1" ht="30" customHeight="1" x14ac:dyDescent="0.3">
      <c r="A24" s="19"/>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1:64" s="3" customFormat="1" ht="30" customHeight="1" x14ac:dyDescent="0.3">
      <c r="A25" s="19"/>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1:64" s="3" customFormat="1" ht="30" customHeight="1" x14ac:dyDescent="0.3">
      <c r="A26" s="19" t="s">
        <v>11</v>
      </c>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1:64" s="3" customFormat="1" ht="30" customHeight="1" x14ac:dyDescent="0.3">
      <c r="A27" s="19"/>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1:64" s="3" customFormat="1" ht="30" customHeight="1" x14ac:dyDescent="0.3">
      <c r="A28" s="19"/>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1:64" s="3" customFormat="1" ht="30" customHeight="1" x14ac:dyDescent="0.3">
      <c r="A29" s="1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1:64" s="3" customFormat="1" ht="30" customHeight="1" x14ac:dyDescent="0.3">
      <c r="A30" s="19"/>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1:64" s="3" customFormat="1" ht="30" customHeight="1" x14ac:dyDescent="0.3">
      <c r="A31" s="19"/>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1:64" s="3" customFormat="1" ht="30" customHeight="1" x14ac:dyDescent="0.3">
      <c r="A32" s="19" t="s">
        <v>12</v>
      </c>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1:64" s="3" customFormat="1" ht="30" customHeight="1" x14ac:dyDescent="0.3">
      <c r="A33" s="20" t="s">
        <v>13</v>
      </c>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1:64" ht="30" customHeight="1" x14ac:dyDescent="0.3">
      <c r="E34"/>
    </row>
    <row r="35" spans="1:64" ht="30" customHeight="1" x14ac:dyDescent="0.3">
      <c r="C35" s="7"/>
      <c r="F35" s="21"/>
    </row>
    <row r="36" spans="1:64" ht="30" customHeight="1" x14ac:dyDescent="0.3">
      <c r="C36" s="8"/>
    </row>
  </sheetData>
  <mergeCells count="12">
    <mergeCell ref="C3:D3"/>
    <mergeCell ref="C4:D4"/>
    <mergeCell ref="B5:G5"/>
    <mergeCell ref="AK4:AQ4"/>
    <mergeCell ref="AR4:AX4"/>
    <mergeCell ref="AY4:BE4"/>
    <mergeCell ref="BF4:BL4"/>
    <mergeCell ref="E3:F3"/>
    <mergeCell ref="I4:O4"/>
    <mergeCell ref="P4:V4"/>
    <mergeCell ref="W4:AC4"/>
    <mergeCell ref="AD4:AJ4"/>
  </mergeCells>
  <conditionalFormatting sqref="D7:D19">
    <cfRule type="dataBar" priority="14">
      <dataBar>
        <cfvo type="num" val="0"/>
        <cfvo type="num" val="1"/>
        <color rgb="FF00B050"/>
      </dataBar>
      <extLst>
        <ext xmlns:x14="http://schemas.microsoft.com/office/spreadsheetml/2009/9/main" uri="{B025F937-C7B1-47D3-B67F-A62EFF666E3E}">
          <x14:id>{B0389232-4C98-4A03-AD0E-39F63BAD1F53}</x14:id>
        </ext>
      </extLst>
    </cfRule>
  </conditionalFormatting>
  <conditionalFormatting sqref="I5:BL19">
    <cfRule type="expression" dxfId="2" priority="33">
      <formula>AND(TODAY()&gt;=I$5,TODAY()&lt;J$5)</formula>
    </cfRule>
  </conditionalFormatting>
  <conditionalFormatting sqref="I7:BL19">
    <cfRule type="expression" dxfId="1" priority="27">
      <formula>AND(Fecha_incio&lt;=I$5,ROUNDDOWN((Fecha_final-Fecha_incio+1)*Progresos,0)+Fecha_incio-1&gt;=I$5)</formula>
    </cfRule>
    <cfRule type="expression" dxfId="0" priority="28" stopIfTrue="1">
      <formula>AND(Fecha_final&gt;=I$5,Fecha_incio&lt;J$5)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7" fitToHeight="0" orientation="landscape" r:id="rId1"/>
  <headerFooter differentFirst="1" scaleWithDoc="0">
    <oddFooter>Page &amp;P of &amp;N</oddFooter>
  </headerFooter>
  <ignoredErrors>
    <ignoredError sqref="F1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Gravedad de un péndulo </vt:lpstr>
      <vt:lpstr>'Gravedad de un péndulo '!Fecha_final</vt:lpstr>
      <vt:lpstr>'Gravedad de un péndulo '!Fecha_incio</vt:lpstr>
      <vt:lpstr>InicioDelProyecto</vt:lpstr>
      <vt:lpstr>'Gravedad de un péndulo '!Progresos</vt:lpstr>
      <vt:lpstr>SemanaParaMostrar</vt:lpstr>
      <vt:lpstr>'Gravedad de un péndulo '!Títulos_a_imprimir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2026-04-19T04:34:12Z</dcterms:modified>
</cp:coreProperties>
</file>